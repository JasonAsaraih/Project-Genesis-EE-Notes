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Main Engineering\Engineering\Project Genesis EE Notes\PowerBudgeting\"/>
    </mc:Choice>
  </mc:AlternateContent>
  <xr:revisionPtr revIDLastSave="0" documentId="13_ncr:1_{0FF47BFA-2860-4F71-B509-575925C5FF00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G4" i="1" s="1"/>
  <c r="G7" i="1" s="1"/>
  <c r="B35" i="1"/>
  <c r="B29" i="1"/>
  <c r="B20" i="1"/>
  <c r="G10" i="1" l="1"/>
  <c r="B38" i="1"/>
  <c r="G13" i="1" l="1"/>
</calcChain>
</file>

<file path=xl/sharedStrings.xml><?xml version="1.0" encoding="utf-8"?>
<sst xmlns="http://schemas.openxmlformats.org/spreadsheetml/2006/main" count="25" uniqueCount="25">
  <si>
    <t>Battery Cells</t>
  </si>
  <si>
    <t>Molicel P30B 18650</t>
  </si>
  <si>
    <t>Capacity (wH)</t>
  </si>
  <si>
    <t>Worst</t>
  </si>
  <si>
    <t>Typical</t>
  </si>
  <si>
    <t>Solar Panels</t>
  </si>
  <si>
    <t>Efficiency (%)</t>
  </si>
  <si>
    <t>Solar Irradiance (W/m^2)</t>
  </si>
  <si>
    <t>Area Facing Sun (m^2)</t>
  </si>
  <si>
    <t>Pointing Accuracy (±deg)</t>
  </si>
  <si>
    <t>Power Generation in Sunlight (W)</t>
  </si>
  <si>
    <t>Orbits Per Day</t>
  </si>
  <si>
    <t>Orbit Period (min)</t>
  </si>
  <si>
    <t>Beta_Critical (deg)</t>
  </si>
  <si>
    <t>Radius of Earth (km)</t>
  </si>
  <si>
    <t>height (km)</t>
  </si>
  <si>
    <t>Eclipse Period (min)</t>
  </si>
  <si>
    <t>Sunlight Period (min)</t>
  </si>
  <si>
    <t>Net Generation in Sunlight (W)</t>
  </si>
  <si>
    <t>Quiescent Load Power (W)</t>
  </si>
  <si>
    <t>Net Energy Generated Per Orbit (Wh)</t>
  </si>
  <si>
    <t>Time to Fully Charge Battery (hr)</t>
  </si>
  <si>
    <t>Beta Angle (deg)</t>
  </si>
  <si>
    <t>Constants</t>
  </si>
  <si>
    <t>Adjustable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</si>
</sst>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7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gupubs.onlinelibrary.wiley.com/doi/10.1029/2010GL045777" TargetMode="External"/><Relationship Id="rId1" Type="http://schemas.openxmlformats.org/officeDocument/2006/relationships/hyperlink" Target="https://www.molicel.com/wp-content/uploads/Product-Data-Sheet-of-INR-18650-P30B-80111-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39"/>
  <sheetViews>
    <sheetView tabSelected="1" workbookViewId="0">
      <selection activeCell="D22" sqref="D22"/>
    </sheetView>
  </sheetViews>
  <sheetFormatPr defaultRowHeight="14.5" x14ac:dyDescent="0.35"/>
  <cols>
    <col min="2" max="2" width="22.1796875" bestFit="1" customWidth="1"/>
    <col min="3" max="3" width="17" bestFit="1" customWidth="1"/>
    <col min="4" max="4" width="23.08984375" bestFit="1" customWidth="1"/>
    <col min="7" max="7" width="32.453125" bestFit="1" customWidth="1"/>
  </cols>
  <sheetData>
    <row r="3" spans="2:7" x14ac:dyDescent="0.35">
      <c r="B3" s="9" t="s">
        <v>0</v>
      </c>
      <c r="C3" s="10" t="s">
        <v>1</v>
      </c>
      <c r="D3" s="8" t="s">
        <v>2</v>
      </c>
      <c r="E3" s="8"/>
      <c r="G3" s="5" t="s">
        <v>10</v>
      </c>
    </row>
    <row r="4" spans="2:7" x14ac:dyDescent="0.35">
      <c r="B4" s="9"/>
      <c r="C4" s="10"/>
      <c r="D4" s="5" t="s">
        <v>3</v>
      </c>
      <c r="E4" s="5" t="s">
        <v>4</v>
      </c>
      <c r="G4" s="12">
        <f>C8*D8*B14*MAX(0, COS(RADIANS(D17)))</f>
        <v>2.5578433137792427</v>
      </c>
    </row>
    <row r="5" spans="2:7" x14ac:dyDescent="0.35">
      <c r="B5" s="9"/>
      <c r="C5" s="10"/>
      <c r="D5" s="2">
        <v>10.4</v>
      </c>
      <c r="E5" s="2">
        <v>10.8</v>
      </c>
    </row>
    <row r="6" spans="2:7" x14ac:dyDescent="0.35">
      <c r="G6" s="5" t="s">
        <v>18</v>
      </c>
    </row>
    <row r="7" spans="2:7" x14ac:dyDescent="0.35">
      <c r="B7" s="9" t="s">
        <v>5</v>
      </c>
      <c r="C7" s="4" t="s">
        <v>6</v>
      </c>
      <c r="D7" s="4" t="s">
        <v>8</v>
      </c>
      <c r="G7" s="12">
        <f>G4-D14</f>
        <v>1.5578433137792427</v>
      </c>
    </row>
    <row r="8" spans="2:7" x14ac:dyDescent="0.35">
      <c r="B8" s="9"/>
      <c r="C8" s="3">
        <f>20/100</f>
        <v>0.2</v>
      </c>
      <c r="D8" s="3">
        <v>0.01</v>
      </c>
    </row>
    <row r="9" spans="2:7" x14ac:dyDescent="0.35">
      <c r="G9" s="5" t="s">
        <v>20</v>
      </c>
    </row>
    <row r="10" spans="2:7" x14ac:dyDescent="0.35">
      <c r="G10" s="12">
        <f>G4*(B38/60)-D14*(B20/60)</f>
        <v>0.9460555855898849</v>
      </c>
    </row>
    <row r="11" spans="2:7" x14ac:dyDescent="0.35">
      <c r="B11" s="13" t="s">
        <v>23</v>
      </c>
      <c r="D11" s="13" t="s">
        <v>24</v>
      </c>
    </row>
    <row r="12" spans="2:7" x14ac:dyDescent="0.35">
      <c r="G12" s="5" t="s">
        <v>21</v>
      </c>
    </row>
    <row r="13" spans="2:7" x14ac:dyDescent="0.35">
      <c r="B13" s="7" t="s">
        <v>7</v>
      </c>
      <c r="D13" s="5" t="s">
        <v>19</v>
      </c>
      <c r="G13" s="12">
        <f>((E5/G10)*B20)/60</f>
        <v>18.265311534761004</v>
      </c>
    </row>
    <row r="14" spans="2:7" x14ac:dyDescent="0.35">
      <c r="B14" s="2">
        <v>1361</v>
      </c>
      <c r="D14" s="2">
        <v>1</v>
      </c>
    </row>
    <row r="16" spans="2:7" x14ac:dyDescent="0.35">
      <c r="B16" s="5" t="s">
        <v>11</v>
      </c>
      <c r="D16" s="6" t="s">
        <v>9</v>
      </c>
    </row>
    <row r="17" spans="2:4" x14ac:dyDescent="0.35">
      <c r="B17" s="2">
        <v>15</v>
      </c>
      <c r="D17" s="2">
        <v>20</v>
      </c>
    </row>
    <row r="18" spans="2:4" x14ac:dyDescent="0.35">
      <c r="B18" s="1"/>
    </row>
    <row r="19" spans="2:4" x14ac:dyDescent="0.35">
      <c r="B19" s="5" t="s">
        <v>12</v>
      </c>
    </row>
    <row r="20" spans="2:4" x14ac:dyDescent="0.35">
      <c r="B20" s="2">
        <f>(24*60)/B17</f>
        <v>96</v>
      </c>
    </row>
    <row r="21" spans="2:4" x14ac:dyDescent="0.35">
      <c r="B21" s="1"/>
    </row>
    <row r="22" spans="2:4" x14ac:dyDescent="0.35">
      <c r="B22" s="4" t="s">
        <v>14</v>
      </c>
    </row>
    <row r="23" spans="2:4" x14ac:dyDescent="0.35">
      <c r="B23" s="3">
        <v>6378</v>
      </c>
    </row>
    <row r="25" spans="2:4" x14ac:dyDescent="0.35">
      <c r="B25" s="5" t="s">
        <v>15</v>
      </c>
    </row>
    <row r="26" spans="2:4" x14ac:dyDescent="0.35">
      <c r="B26" s="2">
        <v>500</v>
      </c>
    </row>
    <row r="27" spans="2:4" x14ac:dyDescent="0.35">
      <c r="B27" s="1"/>
    </row>
    <row r="28" spans="2:4" x14ac:dyDescent="0.35">
      <c r="B28" s="5" t="s">
        <v>13</v>
      </c>
    </row>
    <row r="29" spans="2:4" x14ac:dyDescent="0.35">
      <c r="B29" s="2">
        <f>DEGREES(ASIN(B23/(B23+B26)))</f>
        <v>68.018452171858542</v>
      </c>
    </row>
    <row r="30" spans="2:4" x14ac:dyDescent="0.35">
      <c r="B30" s="11"/>
    </row>
    <row r="31" spans="2:4" x14ac:dyDescent="0.35">
      <c r="B31" s="5" t="s">
        <v>22</v>
      </c>
    </row>
    <row r="32" spans="2:4" x14ac:dyDescent="0.35">
      <c r="B32" s="2">
        <v>0</v>
      </c>
    </row>
    <row r="33" spans="2:2" x14ac:dyDescent="0.35">
      <c r="B33" s="1"/>
    </row>
    <row r="34" spans="2:2" x14ac:dyDescent="0.35">
      <c r="B34" s="5" t="s">
        <v>16</v>
      </c>
    </row>
    <row r="35" spans="2:2" x14ac:dyDescent="0.35">
      <c r="B35" s="2">
        <f>(B20/PI())*ACOS(((SQRT((B23+B26)^2-B23^2))/((B23+B26)*COS(RADIANS(B32)))))</f>
        <v>36.276507824991228</v>
      </c>
    </row>
    <row r="36" spans="2:2" x14ac:dyDescent="0.35">
      <c r="B36" s="1"/>
    </row>
    <row r="37" spans="2:2" x14ac:dyDescent="0.35">
      <c r="B37" s="5" t="s">
        <v>17</v>
      </c>
    </row>
    <row r="38" spans="2:2" x14ac:dyDescent="0.35">
      <c r="B38" s="2">
        <f>B20-B35</f>
        <v>59.723492175008772</v>
      </c>
    </row>
    <row r="39" spans="2:2" x14ac:dyDescent="0.35">
      <c r="B39" s="1"/>
    </row>
  </sheetData>
  <mergeCells count="4">
    <mergeCell ref="D3:E3"/>
    <mergeCell ref="B3:B5"/>
    <mergeCell ref="C3:C5"/>
    <mergeCell ref="B7:B8"/>
  </mergeCells>
  <hyperlinks>
    <hyperlink ref="C3:C5" r:id="rId1" display="Molicel P30B 18650" xr:uid="{EB2EE773-CD21-4599-BA06-953E50EF070E}"/>
    <hyperlink ref="B13" r:id="rId2" xr:uid="{6A7A2EBC-F41C-4C55-B861-E94BB1EEB00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Asariah</dc:creator>
  <cp:lastModifiedBy>Jason Sean Asariah</cp:lastModifiedBy>
  <dcterms:created xsi:type="dcterms:W3CDTF">2015-06-05T18:17:20Z</dcterms:created>
  <dcterms:modified xsi:type="dcterms:W3CDTF">2026-09-17T07:09:04Z</dcterms:modified>
</cp:coreProperties>
</file>