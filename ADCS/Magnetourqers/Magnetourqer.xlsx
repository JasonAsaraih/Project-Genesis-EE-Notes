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Main Engineering\Engineering\Project Genesis EE Notes\ADCS\Magnetourqers\"/>
    </mc:Choice>
  </mc:AlternateContent>
  <xr:revisionPtr revIDLastSave="0" documentId="13_ncr:1_{62916E15-92BF-4931-8A44-CCA69B9BEF95}" xr6:coauthVersionLast="47" xr6:coauthVersionMax="47" xr10:uidLastSave="{00000000-0000-0000-0000-000000000000}"/>
  <bookViews>
    <workbookView xWindow="-110" yWindow="-110" windowWidth="25180" windowHeight="16140" activeTab="1" xr2:uid="{00000000-000D-0000-FFFF-FFFF00000000}"/>
  </bookViews>
  <sheets>
    <sheet name="Hand Calcs for Coil" sheetId="1" r:id="rId1"/>
    <sheet name="H-Bridge Desig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1" l="1"/>
  <c r="O8" i="1"/>
  <c r="J10" i="1"/>
  <c r="I15" i="1" s="1"/>
  <c r="J9" i="1"/>
</calcChain>
</file>

<file path=xl/sharedStrings.xml><?xml version="1.0" encoding="utf-8"?>
<sst xmlns="http://schemas.openxmlformats.org/spreadsheetml/2006/main" count="31" uniqueCount="28">
  <si>
    <t>m</t>
  </si>
  <si>
    <t>Moment</t>
  </si>
  <si>
    <t>N</t>
  </si>
  <si>
    <t>A</t>
  </si>
  <si>
    <t>turns</t>
  </si>
  <si>
    <t>m^2</t>
  </si>
  <si>
    <t>I</t>
  </si>
  <si>
    <t>B</t>
  </si>
  <si>
    <t>uT</t>
  </si>
  <si>
    <t>theta</t>
  </si>
  <si>
    <t xml:space="preserve">deg </t>
  </si>
  <si>
    <t>tau</t>
  </si>
  <si>
    <t>Torque</t>
  </si>
  <si>
    <t>Nm</t>
  </si>
  <si>
    <t>best case is 90 deg relative to the earth</t>
  </si>
  <si>
    <t>Acceleration</t>
  </si>
  <si>
    <t>Desired acceleration</t>
  </si>
  <si>
    <t>1.25 deg/s per hour</t>
  </si>
  <si>
    <t>rad/s^2</t>
  </si>
  <si>
    <t>J</t>
  </si>
  <si>
    <t xml:space="preserve">kg </t>
  </si>
  <si>
    <t>assuming uniform cube</t>
  </si>
  <si>
    <t>A m^2</t>
  </si>
  <si>
    <t>kg m^2</t>
  </si>
  <si>
    <t>DRV8876</t>
  </si>
  <si>
    <t>https://www.digikey.com/en/products/detail/texas-instruments/DRV8876PWPR/10270213</t>
  </si>
  <si>
    <t>Temp</t>
  </si>
  <si>
    <t xml:space="preserve">  -40-125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</si>
</sst>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505268</xdr:colOff>
      <xdr:row>5</xdr:row>
      <xdr:rowOff>174114</xdr:rowOff>
    </xdr:from>
    <xdr:to>
      <xdr:col>9</xdr:col>
      <xdr:colOff>237001</xdr:colOff>
      <xdr:row>7</xdr:row>
      <xdr:rowOff>97519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442C1AF-0DBB-E201-E53F-7C4E5FF4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14273" y="1095888"/>
          <a:ext cx="920797" cy="292115"/>
        </a:xfrm>
        <a:prstGeom prst="rect">
          <a:avLst/>
        </a:prstGeom>
      </xdr:spPr>
    </xdr:pic>
    <xdr:clientData/>
  </xdr:twoCellAnchor>
  <xdr:twoCellAnchor editAs="oneCell">
    <xdr:from>
      <xdr:col>1</xdr:col>
      <xdr:colOff>522340</xdr:colOff>
      <xdr:row>2</xdr:row>
      <xdr:rowOff>17069</xdr:rowOff>
    </xdr:from>
    <xdr:to>
      <xdr:col>5</xdr:col>
      <xdr:colOff>598485</xdr:colOff>
      <xdr:row>5</xdr:row>
      <xdr:rowOff>116075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BF47D07-E918-898C-973E-E44C1A4089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33442" y="385779"/>
          <a:ext cx="2156844" cy="652070"/>
        </a:xfrm>
        <a:prstGeom prst="rect">
          <a:avLst/>
        </a:prstGeom>
      </xdr:spPr>
    </xdr:pic>
    <xdr:clientData/>
  </xdr:twoCellAnchor>
  <xdr:twoCellAnchor editAs="oneCell">
    <xdr:from>
      <xdr:col>7</xdr:col>
      <xdr:colOff>721467</xdr:colOff>
      <xdr:row>11</xdr:row>
      <xdr:rowOff>58286</xdr:rowOff>
    </xdr:from>
    <xdr:to>
      <xdr:col>9</xdr:col>
      <xdr:colOff>10105</xdr:colOff>
      <xdr:row>13</xdr:row>
      <xdr:rowOff>38844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A30DBF0-B7B8-ED3A-544F-AC651A9B4C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553240" y="2090286"/>
          <a:ext cx="476274" cy="3500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8:P17"/>
  <sheetViews>
    <sheetView zoomScale="127" workbookViewId="0">
      <selection activeCell="K20" sqref="K20"/>
    </sheetView>
  </sheetViews>
  <sheetFormatPr defaultRowHeight="14.5" x14ac:dyDescent="0.35"/>
  <cols>
    <col min="3" max="3" width="3.453125" customWidth="1"/>
    <col min="4" max="4" width="8.81640625" bestFit="1" customWidth="1"/>
    <col min="6" max="6" width="21.90625" customWidth="1"/>
    <col min="8" max="8" width="11.08984375" bestFit="1" customWidth="1"/>
    <col min="9" max="9" width="5.90625" bestFit="1" customWidth="1"/>
    <col min="10" max="10" width="11.08984375" bestFit="1" customWidth="1"/>
    <col min="13" max="13" width="17.90625" bestFit="1" customWidth="1"/>
    <col min="15" max="15" width="10.81640625" bestFit="1" customWidth="1"/>
  </cols>
  <sheetData>
    <row r="8" spans="3:16" x14ac:dyDescent="0.35">
      <c r="M8" s="1" t="s">
        <v>16</v>
      </c>
      <c r="N8" s="1" t="s">
        <v>17</v>
      </c>
      <c r="O8" s="1">
        <f>6.06*10^-6</f>
        <v>6.0599999999999996E-6</v>
      </c>
      <c r="P8" s="1" t="s">
        <v>18</v>
      </c>
    </row>
    <row r="9" spans="3:16" x14ac:dyDescent="0.35">
      <c r="C9" s="1" t="s">
        <v>7</v>
      </c>
      <c r="D9" s="1">
        <v>50</v>
      </c>
      <c r="E9" s="1" t="s">
        <v>8</v>
      </c>
      <c r="F9" s="1"/>
      <c r="H9" s="1" t="s">
        <v>1</v>
      </c>
      <c r="I9" s="1" t="s">
        <v>0</v>
      </c>
      <c r="J9" s="1">
        <f>D10*D11*D12</f>
        <v>0.16</v>
      </c>
      <c r="K9" s="1" t="s">
        <v>22</v>
      </c>
    </row>
    <row r="10" spans="3:16" x14ac:dyDescent="0.35">
      <c r="C10" s="1" t="s">
        <v>2</v>
      </c>
      <c r="D10" s="1">
        <v>100</v>
      </c>
      <c r="E10" s="1" t="s">
        <v>4</v>
      </c>
      <c r="F10" s="1"/>
      <c r="H10" s="1" t="s">
        <v>12</v>
      </c>
      <c r="I10" s="1" t="s">
        <v>11</v>
      </c>
      <c r="J10" s="1">
        <f>J9*D9*(10^-6)*SIN(RADIANS(D13))</f>
        <v>7.9999999999999996E-6</v>
      </c>
      <c r="K10" s="1" t="s">
        <v>13</v>
      </c>
    </row>
    <row r="11" spans="3:16" x14ac:dyDescent="0.35">
      <c r="C11" s="1" t="s">
        <v>3</v>
      </c>
      <c r="D11" s="1">
        <v>0.08</v>
      </c>
      <c r="E11" s="1" t="s">
        <v>5</v>
      </c>
      <c r="F11" s="1"/>
    </row>
    <row r="12" spans="3:16" x14ac:dyDescent="0.35">
      <c r="C12" s="1" t="s">
        <v>6</v>
      </c>
      <c r="D12" s="1">
        <v>0.02</v>
      </c>
      <c r="E12" s="1" t="s">
        <v>3</v>
      </c>
      <c r="F12" s="1"/>
    </row>
    <row r="13" spans="3:16" x14ac:dyDescent="0.35">
      <c r="C13" s="1" t="s">
        <v>9</v>
      </c>
      <c r="D13" s="1">
        <v>90</v>
      </c>
      <c r="E13" s="1" t="s">
        <v>10</v>
      </c>
      <c r="F13" s="1" t="s">
        <v>14</v>
      </c>
    </row>
    <row r="15" spans="3:16" x14ac:dyDescent="0.35">
      <c r="H15" t="s">
        <v>15</v>
      </c>
      <c r="I15">
        <f>J10/D16</f>
        <v>2.3999999999999994E-3</v>
      </c>
      <c r="J15" t="s">
        <v>18</v>
      </c>
    </row>
    <row r="16" spans="3:16" x14ac:dyDescent="0.35">
      <c r="C16" s="1" t="s">
        <v>19</v>
      </c>
      <c r="D16" s="1">
        <f>1/6*D17*(10/100)^2</f>
        <v>3.333333333333334E-3</v>
      </c>
      <c r="E16" s="1" t="s">
        <v>23</v>
      </c>
      <c r="F16" s="1" t="s">
        <v>21</v>
      </c>
    </row>
    <row r="17" spans="3:6" x14ac:dyDescent="0.35">
      <c r="C17" s="1" t="s">
        <v>0</v>
      </c>
      <c r="D17" s="1">
        <v>2</v>
      </c>
      <c r="E17" s="1" t="s">
        <v>20</v>
      </c>
      <c r="F17" s="1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5EC9C-47F3-49A3-9792-FDA20251E161}">
  <dimension ref="C4:E5"/>
  <sheetViews>
    <sheetView tabSelected="1" workbookViewId="0">
      <selection activeCell="K24" sqref="K24"/>
    </sheetView>
  </sheetViews>
  <sheetFormatPr defaultRowHeight="14.5" x14ac:dyDescent="0.35"/>
  <cols>
    <col min="3" max="3" width="8.26953125" bestFit="1" customWidth="1"/>
  </cols>
  <sheetData>
    <row r="4" spans="3:5" x14ac:dyDescent="0.35">
      <c r="E4" t="s">
        <v>26</v>
      </c>
    </row>
    <row r="5" spans="3:5" x14ac:dyDescent="0.35">
      <c r="C5" t="s">
        <v>24</v>
      </c>
      <c r="D5" t="s">
        <v>25</v>
      </c>
      <c r="E5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Hand Calcs for Coil</vt:lpstr>
      <vt:lpstr>H-Bridge Design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Asariah</dc:creator>
  <cp:lastModifiedBy>Jason Sean Asariah</cp:lastModifiedBy>
  <dcterms:created xsi:type="dcterms:W3CDTF">2015-06-05T18:17:20Z</dcterms:created>
  <dcterms:modified xsi:type="dcterms:W3CDTF">2026-10-12T00:01:10Z</dcterms:modified>
</cp:coreProperties>
</file>